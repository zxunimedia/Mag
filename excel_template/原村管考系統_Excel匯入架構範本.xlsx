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畫資料" sheetId="1" state="visible" r:id="rId1"/>
    <sheet xmlns:r="http://schemas.openxmlformats.org/officeDocument/2006/relationships" name="月報表" sheetId="2" state="visible" r:id="rId2"/>
    <sheet xmlns:r="http://schemas.openxmlformats.org/officeDocument/2006/relationships" name="經費支出" sheetId="3" state="visible" r:id="rId3"/>
  </sheets>
  <definedNames>
    <definedName name="關鍵項目ID">'計畫資料'!$B$6:$B$20</definedName>
    <definedName name="預算科目">'計畫資料'!$D$6:$D$20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Microsoft JhengHei"/>
      <b val="1"/>
      <color rgb="002D3E50"/>
      <sz val="16"/>
    </font>
    <font>
      <name val="Microsoft JhengHei"/>
      <color rgb="007F8C8D"/>
      <sz val="9"/>
    </font>
    <font>
      <name val="Microsoft JhengHei"/>
      <b val="1"/>
      <color rgb="00FFFFFF"/>
      <sz val="11"/>
    </font>
    <font>
      <name val="Microsoft JhengHei"/>
      <color rgb="002C3E50"/>
      <sz val="10"/>
    </font>
    <font>
      <name val="Microsoft JhengHei"/>
      <b val="1"/>
      <color rgb="00E67E22"/>
      <sz val="11"/>
    </font>
    <font>
      <name val="Microsoft JhengHei"/>
      <b val="1"/>
      <sz val="9"/>
    </font>
    <font>
      <name val="Consolas"/>
      <color rgb="007F8C8D"/>
      <sz val="9"/>
    </font>
    <font>
      <name val="Microsoft JhengHei"/>
      <b val="1"/>
      <color rgb="00E74C3C"/>
      <sz val="11"/>
    </font>
    <font>
      <name val="Microsoft JhengHei"/>
      <color rgb="002C3E50"/>
      <sz val="9"/>
    </font>
  </fonts>
  <fills count="4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5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2" ht="35" customHeight="1">
      <c r="B2" s="1" t="inlineStr">
        <is>
          <t>計畫資料（主表）</t>
        </is>
      </c>
    </row>
    <row r="3">
      <c r="B3" s="2" t="inlineStr">
        <is>
          <t>此表定義計畫的關鍵項目與預算科目，供月報表與經費支出連動使用</t>
        </is>
      </c>
    </row>
    <row r="5" ht="30" customHeight="1">
      <c r="B5" s="3" t="inlineStr">
        <is>
          <t>關鍵項目 ID</t>
        </is>
      </c>
      <c r="C5" s="3" t="inlineStr">
        <is>
          <t>工作項目名稱</t>
        </is>
      </c>
      <c r="D5" s="3" t="inlineStr">
        <is>
          <t>預算科目</t>
        </is>
      </c>
      <c r="E5" s="3" t="inlineStr">
        <is>
          <t>核定金額</t>
        </is>
      </c>
      <c r="F5" s="3" t="inlineStr">
        <is>
          <t>預定目標值</t>
        </is>
      </c>
      <c r="G5" s="3" t="inlineStr">
        <is>
          <t>預計完成日</t>
        </is>
      </c>
    </row>
    <row r="6">
      <c r="B6" s="4" t="inlineStr">
        <is>
          <t>KR-001</t>
        </is>
      </c>
      <c r="C6" s="5" t="inlineStr">
        <is>
          <t>辦理計畫說明會</t>
        </is>
      </c>
      <c r="D6" s="4" t="inlineStr">
        <is>
          <t>01-人事費</t>
        </is>
      </c>
      <c r="E6" s="6" t="n">
        <v>50000</v>
      </c>
      <c r="F6" s="4" t="n">
        <v>1</v>
      </c>
      <c r="G6" s="4" t="inlineStr">
        <is>
          <t>2026/03/31</t>
        </is>
      </c>
    </row>
    <row r="7">
      <c r="B7" s="7" t="inlineStr">
        <is>
          <t>KR-002</t>
        </is>
      </c>
      <c r="C7" s="8" t="inlineStr">
        <is>
          <t>耆老訪談紀錄</t>
        </is>
      </c>
      <c r="D7" s="7" t="inlineStr">
        <is>
          <t>02-業務費</t>
        </is>
      </c>
      <c r="E7" s="9" t="n">
        <v>80000</v>
      </c>
      <c r="F7" s="7" t="n">
        <v>10</v>
      </c>
      <c r="G7" s="7" t="inlineStr">
        <is>
          <t>2026/06/30</t>
        </is>
      </c>
    </row>
    <row r="8">
      <c r="B8" s="4" t="inlineStr">
        <is>
          <t>KR-003</t>
        </is>
      </c>
      <c r="C8" s="5" t="inlineStr">
        <is>
          <t>文化體驗活動</t>
        </is>
      </c>
      <c r="D8" s="4" t="inlineStr">
        <is>
          <t>02-業務費</t>
        </is>
      </c>
      <c r="E8" s="6" t="n">
        <v>150000</v>
      </c>
      <c r="F8" s="4" t="n">
        <v>3</v>
      </c>
      <c r="G8" s="4" t="inlineStr">
        <is>
          <t>2026/09/30</t>
        </is>
      </c>
    </row>
    <row r="9">
      <c r="B9" s="7" t="inlineStr">
        <is>
          <t>KR-004</t>
        </is>
      </c>
      <c r="C9" s="8" t="inlineStr">
        <is>
          <t>成果發表會</t>
        </is>
      </c>
      <c r="D9" s="7" t="inlineStr">
        <is>
          <t>02-業務費</t>
        </is>
      </c>
      <c r="E9" s="9" t="n">
        <v>100000</v>
      </c>
      <c r="F9" s="7" t="n">
        <v>1</v>
      </c>
      <c r="G9" s="7" t="inlineStr">
        <is>
          <t>2026/12/15</t>
        </is>
      </c>
    </row>
    <row r="10">
      <c r="B10" s="4" t="inlineStr">
        <is>
          <t>KR-005</t>
        </is>
      </c>
      <c r="C10" s="5" t="inlineStr">
        <is>
          <t>行政雜支</t>
        </is>
      </c>
      <c r="D10" s="4" t="inlineStr">
        <is>
          <t>03-雜支</t>
        </is>
      </c>
      <c r="E10" s="6" t="n">
        <v>20000</v>
      </c>
      <c r="F10" s="4" t="n">
        <v>0</v>
      </c>
      <c r="G10" s="4" t="inlineStr">
        <is>
          <t>2026/12/31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5" customWidth="1" min="3" max="3"/>
    <col width="20" customWidth="1" min="4" max="4"/>
    <col width="14" customWidth="1" min="5" max="5"/>
    <col width="14" customWidth="1" min="6" max="6"/>
    <col width="12" customWidth="1" min="7" max="7"/>
    <col width="35" customWidth="1" min="8" max="8"/>
  </cols>
  <sheetData>
    <row r="2" ht="35" customHeight="1">
      <c r="B2" s="1" t="inlineStr">
        <is>
          <t>月報表（填報）</t>
        </is>
      </c>
    </row>
    <row r="3">
      <c r="B3" s="2" t="inlineStr">
        <is>
          <t>工作事項透過下拉選單連動「計畫資料」的關鍵項目 ID，選擇後自動帶出項目名稱與預定目標值</t>
        </is>
      </c>
    </row>
    <row r="5" ht="30" customHeight="1">
      <c r="B5" s="3" t="inlineStr">
        <is>
          <t>填報月份</t>
        </is>
      </c>
      <c r="C5" s="3" t="inlineStr">
        <is>
          <t>對應項目 ID</t>
        </is>
      </c>
      <c r="D5" s="3" t="inlineStr">
        <is>
          <t>工作項目名稱</t>
        </is>
      </c>
      <c r="E5" s="3" t="inlineStr">
        <is>
          <t>預定目標值</t>
        </is>
      </c>
      <c r="F5" s="3" t="inlineStr">
        <is>
          <t>本月達成數</t>
        </is>
      </c>
      <c r="G5" s="3" t="inlineStr">
        <is>
          <t>達成率(%)</t>
        </is>
      </c>
      <c r="H5" s="3" t="inlineStr">
        <is>
          <t>本月執行內容</t>
        </is>
      </c>
    </row>
    <row r="6">
      <c r="B6" s="4" t="inlineStr">
        <is>
          <t>2026年01月</t>
        </is>
      </c>
      <c r="C6" s="4" t="inlineStr">
        <is>
          <t>KR-001</t>
        </is>
      </c>
      <c r="D6" s="5">
        <f>IFERROR(VLOOKUP(C6,計畫資料!$B$6:$G$20,2,FALSE),"")</f>
        <v/>
      </c>
      <c r="E6" s="4">
        <f>IFERROR(VLOOKUP(C6,計畫資料!$B$6:$G$20,5,FALSE),"")</f>
        <v/>
      </c>
      <c r="F6" s="4" t="n">
        <v>1</v>
      </c>
      <c r="G6" s="10">
        <f>IFERROR(F6/E6,"")</f>
        <v/>
      </c>
      <c r="H6" s="5" t="inlineStr">
        <is>
          <t>完成計畫說明會籌備工作</t>
        </is>
      </c>
    </row>
    <row r="7">
      <c r="B7" s="7" t="inlineStr">
        <is>
          <t>2026年01月</t>
        </is>
      </c>
      <c r="C7" s="7" t="inlineStr">
        <is>
          <t>KR-002</t>
        </is>
      </c>
      <c r="D7" s="8">
        <f>IFERROR(VLOOKUP(C7,計畫資料!$B$6:$G$20,2,FALSE),"")</f>
        <v/>
      </c>
      <c r="E7" s="7">
        <f>IFERROR(VLOOKUP(C7,計畫資料!$B$6:$G$20,5,FALSE),"")</f>
        <v/>
      </c>
      <c r="F7" s="7" t="n">
        <v>3</v>
      </c>
      <c r="G7" s="11">
        <f>IFERROR(F7/E7,"")</f>
        <v/>
      </c>
      <c r="H7" s="8" t="inlineStr">
        <is>
          <t>訪談 3 位部落耆老</t>
        </is>
      </c>
    </row>
    <row r="8">
      <c r="B8" s="4" t="inlineStr">
        <is>
          <t>2026年02月</t>
        </is>
      </c>
      <c r="C8" s="4" t="inlineStr">
        <is>
          <t>KR-002</t>
        </is>
      </c>
      <c r="D8" s="5">
        <f>IFERROR(VLOOKUP(C8,計畫資料!$B$6:$G$20,2,FALSE),"")</f>
        <v/>
      </c>
      <c r="E8" s="4">
        <f>IFERROR(VLOOKUP(C8,計畫資料!$B$6:$G$20,5,FALSE),"")</f>
        <v/>
      </c>
      <c r="F8" s="4" t="n">
        <v>4</v>
      </c>
      <c r="G8" s="10">
        <f>IFERROR(F8/E8,"")</f>
        <v/>
      </c>
      <c r="H8" s="5" t="inlineStr">
        <is>
          <t>訪談 4 位部落耆老</t>
        </is>
      </c>
    </row>
    <row r="9">
      <c r="B9" s="7" t="inlineStr">
        <is>
          <t>2026年02月</t>
        </is>
      </c>
      <c r="C9" s="7" t="inlineStr">
        <is>
          <t>KR-003</t>
        </is>
      </c>
      <c r="D9" s="8">
        <f>IFERROR(VLOOKUP(C9,計畫資料!$B$6:$G$20,2,FALSE),"")</f>
        <v/>
      </c>
      <c r="E9" s="7">
        <f>IFERROR(VLOOKUP(C9,計畫資料!$B$6:$G$20,5,FALSE),"")</f>
        <v/>
      </c>
      <c r="F9" s="7" t="n">
        <v>0</v>
      </c>
      <c r="G9" s="11">
        <f>IFERROR(F9/E9,"")</f>
        <v/>
      </c>
      <c r="H9" s="8" t="inlineStr">
        <is>
          <t>活動場地勘查</t>
        </is>
      </c>
    </row>
    <row r="12">
      <c r="B12" s="12" t="inlineStr">
        <is>
          <t>【VLOOKUP 公式說明】</t>
        </is>
      </c>
    </row>
    <row r="13">
      <c r="B13" s="13" t="inlineStr">
        <is>
          <t>工作項目名稱公式：</t>
        </is>
      </c>
      <c r="C13" s="14">
        <f>VLOOKUP(C6,計畫資料!$B$6:$G$20,2,FALSE)</f>
        <v/>
      </c>
    </row>
    <row r="14">
      <c r="B14" s="13" t="inlineStr">
        <is>
          <t>預定目標值公式：</t>
        </is>
      </c>
      <c r="C14" s="14">
        <f>VLOOKUP(C6,計畫資料!$B$6:$G$20,5,FALSE)</f>
        <v/>
      </c>
    </row>
    <row r="15">
      <c r="B15" s="13" t="inlineStr">
        <is>
          <t>達成率公式：</t>
        </is>
      </c>
      <c r="C15" s="14">
        <f>F6/E6 (本月達成數 ÷ 預定目標值)</f>
        <v/>
      </c>
    </row>
  </sheetData>
  <mergeCells count="3">
    <mergeCell ref="B3:H3"/>
    <mergeCell ref="B2:H2"/>
    <mergeCell ref="B12:H12"/>
  </mergeCells>
  <dataValidations count="1">
    <dataValidation sqref="C6:C100" showDropDown="0" showInputMessage="0" showErrorMessage="0" allowBlank="1" errorTitle="輸入錯誤" error="請從下拉選單選擇有效的關鍵項目 ID" promptTitle="選擇項目" prompt="請選擇對應的關鍵項目 ID" type="list">
      <formula1>=關鍵項目ID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25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2" ht="35" customHeight="1">
      <c r="B2" s="1" t="inlineStr">
        <is>
          <t>經費支出（核銷）</t>
        </is>
      </c>
    </row>
    <row r="3">
      <c r="B3" s="2" t="inlineStr">
        <is>
          <t>支出項目透過下拉選單連動「計畫資料」的預算科目，選擇後自動帶出核定金額與剩餘餘額</t>
        </is>
      </c>
    </row>
    <row r="5" ht="30" customHeight="1">
      <c r="B5" s="3" t="inlineStr">
        <is>
          <t>日期</t>
        </is>
      </c>
      <c r="C5" s="3" t="inlineStr">
        <is>
          <t>對應科目</t>
        </is>
      </c>
      <c r="D5" s="3" t="inlineStr">
        <is>
          <t>科目名稱</t>
        </is>
      </c>
      <c r="E5" s="3" t="inlineStr">
        <is>
          <t>核定金額</t>
        </is>
      </c>
      <c r="F5" s="3" t="inlineStr">
        <is>
          <t>經費來源</t>
        </is>
      </c>
      <c r="G5" s="3" t="inlineStr">
        <is>
          <t>本月報支金額</t>
        </is>
      </c>
      <c r="H5" s="3" t="inlineStr">
        <is>
          <t>累計支出</t>
        </is>
      </c>
      <c r="I5" s="3" t="inlineStr">
        <is>
          <t>剩餘餘額</t>
        </is>
      </c>
    </row>
    <row r="6">
      <c r="B6" s="4" t="inlineStr">
        <is>
          <t>2026/01/15</t>
        </is>
      </c>
      <c r="C6" s="4" t="inlineStr">
        <is>
          <t>01-人事費</t>
        </is>
      </c>
      <c r="D6" s="5">
        <f>IFERROR(VLOOKUP(C6,計畫資料!$D$6:$E$20,1,FALSE)&amp;" - "&amp;VLOOKUP(C6,計畫資料!$D$6:$E$20,2,FALSE),"")</f>
        <v/>
      </c>
      <c r="E6" s="6">
        <f>IFERROR(SUMIF(計畫資料!$D$6:$D$20,C6,計畫資料!$E$6:$E$20),"")</f>
        <v/>
      </c>
      <c r="F6" s="4" t="inlineStr">
        <is>
          <t>補助款</t>
        </is>
      </c>
      <c r="G6" s="6" t="n">
        <v>15000</v>
      </c>
      <c r="H6" s="6">
        <f>SUMIF($C$6:$C$100,C6,$G$6:$G$100)</f>
        <v/>
      </c>
      <c r="I6" s="6">
        <f>IFERROR(E6-H6,"")</f>
        <v/>
      </c>
    </row>
    <row r="7">
      <c r="B7" s="7" t="inlineStr">
        <is>
          <t>2026/01/20</t>
        </is>
      </c>
      <c r="C7" s="7" t="inlineStr">
        <is>
          <t>02-業務費</t>
        </is>
      </c>
      <c r="D7" s="8">
        <f>IFERROR(VLOOKUP(C7,計畫資料!$D$6:$E$20,1,FALSE)&amp;" - "&amp;VLOOKUP(C7,計畫資料!$D$6:$E$20,2,FALSE),"")</f>
        <v/>
      </c>
      <c r="E7" s="9">
        <f>IFERROR(SUMIF(計畫資料!$D$6:$D$20,C7,計畫資料!$E$6:$E$20),"")</f>
        <v/>
      </c>
      <c r="F7" s="7" t="inlineStr">
        <is>
          <t>補助款</t>
        </is>
      </c>
      <c r="G7" s="9" t="n">
        <v>25000</v>
      </c>
      <c r="H7" s="9">
        <f>SUMIF($C$6:$C$100,C7,$G$6:$G$100)</f>
        <v/>
      </c>
      <c r="I7" s="9">
        <f>IFERROR(E7-H7,"")</f>
        <v/>
      </c>
    </row>
    <row r="8">
      <c r="B8" s="4" t="inlineStr">
        <is>
          <t>2026/02/10</t>
        </is>
      </c>
      <c r="C8" s="4" t="inlineStr">
        <is>
          <t>02-業務費</t>
        </is>
      </c>
      <c r="D8" s="5">
        <f>IFERROR(VLOOKUP(C8,計畫資料!$D$6:$E$20,1,FALSE)&amp;" - "&amp;VLOOKUP(C8,計畫資料!$D$6:$E$20,2,FALSE),"")</f>
        <v/>
      </c>
      <c r="E8" s="6">
        <f>IFERROR(SUMIF(計畫資料!$D$6:$D$20,C8,計畫資料!$E$6:$E$20),"")</f>
        <v/>
      </c>
      <c r="F8" s="4" t="inlineStr">
        <is>
          <t>自籌款</t>
        </is>
      </c>
      <c r="G8" s="6" t="n">
        <v>18000</v>
      </c>
      <c r="H8" s="6">
        <f>SUMIF($C$6:$C$100,C8,$G$6:$G$100)</f>
        <v/>
      </c>
      <c r="I8" s="6">
        <f>IFERROR(E8-H8,"")</f>
        <v/>
      </c>
    </row>
    <row r="9">
      <c r="B9" s="7" t="inlineStr">
        <is>
          <t>2026/02/28</t>
        </is>
      </c>
      <c r="C9" s="7" t="inlineStr">
        <is>
          <t>03-雜支</t>
        </is>
      </c>
      <c r="D9" s="8">
        <f>IFERROR(VLOOKUP(C9,計畫資料!$D$6:$E$20,1,FALSE)&amp;" - "&amp;VLOOKUP(C9,計畫資料!$D$6:$E$20,2,FALSE),"")</f>
        <v/>
      </c>
      <c r="E9" s="9">
        <f>IFERROR(SUMIF(計畫資料!$D$6:$D$20,C9,計畫資料!$E$6:$E$20),"")</f>
        <v/>
      </c>
      <c r="F9" s="7" t="inlineStr">
        <is>
          <t>補助款</t>
        </is>
      </c>
      <c r="G9" s="9" t="n">
        <v>5000</v>
      </c>
      <c r="H9" s="9">
        <f>SUMIF($C$6:$C$100,C9,$G$6:$G$100)</f>
        <v/>
      </c>
      <c r="I9" s="9">
        <f>IFERROR(E9-H9,"")</f>
        <v/>
      </c>
    </row>
    <row r="12">
      <c r="B12" s="12" t="inlineStr">
        <is>
          <t>【VLOOKUP 公式說明】</t>
        </is>
      </c>
    </row>
    <row r="13">
      <c r="B13" s="13" t="inlineStr">
        <is>
          <t>核定金額公式：</t>
        </is>
      </c>
      <c r="C13" s="14">
        <f>SUMIF(計畫資料!$D$6:$D$20,C6,計畫資料!$E$6:$E$20)</f>
        <v/>
      </c>
    </row>
    <row r="14">
      <c r="B14" s="13" t="inlineStr">
        <is>
          <t>累計支出公式：</t>
        </is>
      </c>
      <c r="C14" s="14">
        <f>SUMIF($C$6:$C$100,C6,$G$6:$G$100)</f>
        <v/>
      </c>
    </row>
    <row r="15">
      <c r="B15" s="13" t="inlineStr">
        <is>
          <t>剩餘餘額公式：</t>
        </is>
      </c>
      <c r="C15" s="14">
        <f>E6-H6 (核定金額 - 累計支出)</f>
        <v/>
      </c>
    </row>
    <row r="17">
      <c r="B17" s="15" t="inlineStr">
        <is>
          <t>【重要提醒】</t>
        </is>
      </c>
    </row>
    <row r="18">
      <c r="B18" s="16" t="inlineStr">
        <is>
          <t>• 「經費來源」欄位區分補助款與自籌款，系統可據此自動產出「經費撥付申請表」</t>
        </is>
      </c>
    </row>
    <row r="19">
      <c r="B19" s="16" t="inlineStr">
        <is>
          <t>• 人事費支出請注意文化部獎補助資訊網規範的上限（通常為核定金額的 30%）</t>
        </is>
      </c>
    </row>
  </sheetData>
  <mergeCells count="6">
    <mergeCell ref="B12:I12"/>
    <mergeCell ref="B18:I18"/>
    <mergeCell ref="B2:I2"/>
    <mergeCell ref="B3:I3"/>
    <mergeCell ref="B19:I19"/>
    <mergeCell ref="B17:I17"/>
  </mergeCells>
  <dataValidations count="2">
    <dataValidation sqref="C6:C100" showDropDown="0" showInputMessage="0" showErrorMessage="0" allowBlank="1" errorTitle="輸入錯誤" error="請從下拉選單選擇有效的預算科目" type="list">
      <formula1>"01-人事費,02-業務費,03-雜支"</formula1>
    </dataValidation>
    <dataValidation sqref="F6:F100" showDropDown="0" showInputMessage="0" showErrorMessage="0" allowBlank="1" errorTitle="輸入錯誤" error="請選擇補助款或自籌款" type="list">
      <formula1>"補助款,自籌款"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2026-02-01T22:56:07Z</dcterms:created>
  <dcterms:modified xmlns:dcterms="http://purl.org/dc/terms/" xmlns:xsi="http://www.w3.org/2001/XMLSchema-instance" xsi:type="dcterms:W3CDTF">2026-02-01T22:56:07Z</dcterms:modified>
</cp:coreProperties>
</file>